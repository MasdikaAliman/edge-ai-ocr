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OT\RPA\Shipping\Create Certificate of Origin\Input\"/>
    </mc:Choice>
  </mc:AlternateContent>
  <bookViews>
    <workbookView xWindow="0" yWindow="0" windowWidth="20640" windowHeight="11760" activeTab="1"/>
  </bookViews>
  <sheets>
    <sheet name="Sheet1" sheetId="3" r:id="rId1"/>
    <sheet name="CREATE COO" sheetId="5" r:id="rId2"/>
  </sheets>
  <calcPr calcId="152511"/>
</workbook>
</file>

<file path=xl/calcChain.xml><?xml version="1.0" encoding="utf-8"?>
<calcChain xmlns="http://schemas.openxmlformats.org/spreadsheetml/2006/main">
  <c r="F55" i="5" l="1"/>
  <c r="K1" i="3" l="1"/>
  <c r="E36" i="5" l="1"/>
  <c r="E55" i="5" l="1"/>
  <c r="E50" i="5"/>
  <c r="E46" i="5"/>
  <c r="E40" i="5"/>
</calcChain>
</file>

<file path=xl/sharedStrings.xml><?xml version="1.0" encoding="utf-8"?>
<sst xmlns="http://schemas.openxmlformats.org/spreadsheetml/2006/main" count="210" uniqueCount="108">
  <si>
    <t>MICROWAVE OVEN (CONTROL PANEL)</t>
  </si>
  <si>
    <t>No</t>
  </si>
  <si>
    <t>Category Barang</t>
  </si>
  <si>
    <t>Part Number</t>
  </si>
  <si>
    <t>Jlh Kemasan</t>
  </si>
  <si>
    <t>Jml Satuan</t>
  </si>
  <si>
    <t>Unit Price</t>
  </si>
  <si>
    <t>Amount FOB</t>
  </si>
  <si>
    <t>Round GW</t>
  </si>
  <si>
    <t>Round NW</t>
  </si>
  <si>
    <t>SECTION</t>
  </si>
  <si>
    <t>OPTION</t>
  </si>
  <si>
    <t>TYPE</t>
  </si>
  <si>
    <t>REQUIRED FIELDS</t>
  </si>
  <si>
    <t>START</t>
  </si>
  <si>
    <t>Saya ingin ekspor ke negara tujuan</t>
  </si>
  <si>
    <t>LIST</t>
  </si>
  <si>
    <t>Mandatory</t>
  </si>
  <si>
    <t>UNITED KINGDOM</t>
  </si>
  <si>
    <t>Saya ingin mengajukan permohonan</t>
  </si>
  <si>
    <t>Multiple Choice</t>
  </si>
  <si>
    <t>Surat Keterangan Asal (SKA) Konvensional</t>
  </si>
  <si>
    <t>Menggunakan Form</t>
  </si>
  <si>
    <t>FORM A</t>
  </si>
  <si>
    <t>Pilih Kantor Ipska</t>
  </si>
  <si>
    <t>Default</t>
  </si>
  <si>
    <t>BP Batam</t>
  </si>
  <si>
    <t>HEADER</t>
  </si>
  <si>
    <t>Informasi Dasar</t>
  </si>
  <si>
    <t>No Aju</t>
  </si>
  <si>
    <t>FILLED</t>
  </si>
  <si>
    <t>-</t>
  </si>
  <si>
    <t>Jenis Form</t>
  </si>
  <si>
    <t>Tipe Form</t>
  </si>
  <si>
    <t>Konvensional</t>
  </si>
  <si>
    <t>Kantor IPSKA</t>
  </si>
  <si>
    <t>Eksportir</t>
  </si>
  <si>
    <t>NIB*</t>
  </si>
  <si>
    <t>NPWP*</t>
  </si>
  <si>
    <t>015308075054000</t>
  </si>
  <si>
    <t>Nama Perusahaan*</t>
  </si>
  <si>
    <t>PT SAT NUSAPERSADA Tbk.</t>
  </si>
  <si>
    <t>Penandatangan Dokumen SKA*</t>
  </si>
  <si>
    <t>ELVIA</t>
  </si>
  <si>
    <t>Negara*</t>
  </si>
  <si>
    <t>INDONESIA</t>
  </si>
  <si>
    <t>Negara tidak Dicetak</t>
  </si>
  <si>
    <t>TICK</t>
  </si>
  <si>
    <t>Alamat*</t>
  </si>
  <si>
    <t>JALAN PELITA VI NO. 99, Kampung Pelita, Lubuk Baja, KOTA BATAM, KEPULAUAN RIAU</t>
  </si>
  <si>
    <t>Atas Nama</t>
  </si>
  <si>
    <t>SHORT TEXT</t>
  </si>
  <si>
    <t>Optional</t>
  </si>
  <si>
    <t>BLANK</t>
  </si>
  <si>
    <t>Apakah data Alamat untuk permohonan berbeda dengan data profile?</t>
  </si>
  <si>
    <t>Penerima Barang</t>
  </si>
  <si>
    <t>PANASONIC MANUFACTURING UK LTD</t>
  </si>
  <si>
    <t>LONG TEXT</t>
  </si>
  <si>
    <t>PENTWYN INDUSTRIAL ESTATE CARDIFF,S.GLAM,
WYNCLIFFE ROAD (MOP PURCHASING) U.K CARDIFF
CF23 7XB 
UNITED KINGDOM</t>
  </si>
  <si>
    <t>Nama Penerima</t>
  </si>
  <si>
    <t>Cetak Penerima Barang*</t>
  </si>
  <si>
    <t>Print Consignee</t>
  </si>
  <si>
    <t>Rute Transportasi</t>
  </si>
  <si>
    <t>Jenis Transportasi*</t>
  </si>
  <si>
    <t>By SEA</t>
  </si>
  <si>
    <t>Dikirim Oleh*</t>
  </si>
  <si>
    <t>Pelabuhan Muat*</t>
  </si>
  <si>
    <t>Pelabuhan Bongkar*</t>
  </si>
  <si>
    <t>GBSOU</t>
  </si>
  <si>
    <t>Tanggal Keberangkatan*</t>
  </si>
  <si>
    <t>DATE</t>
  </si>
  <si>
    <t>Dokumen Transport*</t>
  </si>
  <si>
    <t>HOST</t>
  </si>
  <si>
    <t>UPLOAD FILE</t>
  </si>
  <si>
    <t>PLEASE UPLOAD BL</t>
  </si>
  <si>
    <t>Document Number</t>
  </si>
  <si>
    <t>Document Date</t>
  </si>
  <si>
    <t xml:space="preserve">Dokumen Pendukung
</t>
  </si>
  <si>
    <t>Dokumen PEB*</t>
  </si>
  <si>
    <t>PLEASE UPLOAD PEB</t>
  </si>
  <si>
    <t>Value EWP(USD)</t>
  </si>
  <si>
    <t>Daftar Kemasan*</t>
  </si>
  <si>
    <t>PLEASE UPLOAD PACKING LIST</t>
  </si>
  <si>
    <t>KPPBC*</t>
  </si>
  <si>
    <t>020400</t>
  </si>
  <si>
    <t>GOODS</t>
  </si>
  <si>
    <t>Nomor Invoice*</t>
  </si>
  <si>
    <t>Tanggal Invoice*</t>
  </si>
  <si>
    <t>File Invoice</t>
  </si>
  <si>
    <t>PLEASE UPLOAD INV</t>
  </si>
  <si>
    <t>Total Invoice EWP (USD)*</t>
  </si>
  <si>
    <t>Southampton, United Kingdom</t>
  </si>
  <si>
    <t>Batu Ampar, Batam, Indonesia</t>
  </si>
  <si>
    <t>IDBTU</t>
  </si>
  <si>
    <t>J890L46U5KBH</t>
  </si>
  <si>
    <t>J890L46U6KBS</t>
  </si>
  <si>
    <t>J890L46W5KBH</t>
  </si>
  <si>
    <t>J890L46W6KBS</t>
  </si>
  <si>
    <t>J890L46Y2KBN</t>
  </si>
  <si>
    <t>J890L46U3KBN</t>
  </si>
  <si>
    <t>PENGUIN INDORAYA II V. B26191 / HMM DREAM V. 061W</t>
  </si>
  <si>
    <t>B2605015-23</t>
  </si>
  <si>
    <t>049087</t>
  </si>
  <si>
    <t>J890L46W3KBN</t>
  </si>
  <si>
    <t>J890L46Y2QBS</t>
  </si>
  <si>
    <t>J890L46Y3KBH</t>
  </si>
  <si>
    <t>J890L48K1JGG</t>
  </si>
  <si>
    <t>J890L48K1SGG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</si>
</sst>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#,##0.000"/>
    <numFmt numFmtId="165" formatCode="#,##0.0000"/>
    <numFmt numFmtId="166" formatCode="dd\-mm\-yyyy"/>
    <numFmt numFmtId="167" formatCode="d\ mmmm\ yyyy"/>
    <numFmt numFmtId="168" formatCode="yyyy\-mm\-dd"/>
  </numFmts>
  <fonts count="10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3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0" fontId="5" fillId="0" borderId="0" xfId="1" applyAlignment="1">
      <alignment horizontal="center" vertical="center"/>
    </xf>
    <xf numFmtId="0" fontId="5" fillId="0" borderId="0" xfId="1" applyAlignment="1">
      <alignment horizontal="left" vertical="center"/>
    </xf>
    <xf numFmtId="0" fontId="7" fillId="0" borderId="0" xfId="1" applyFont="1" applyAlignment="1">
      <alignment horizontal="left" vertical="center"/>
    </xf>
    <xf numFmtId="0" fontId="7" fillId="0" borderId="0" xfId="1" applyFont="1" applyAlignment="1">
      <alignment horizontal="center" vertical="center"/>
    </xf>
    <xf numFmtId="0" fontId="5" fillId="0" borderId="0" xfId="1" applyAlignment="1">
      <alignment horizontal="left" vertical="center" indent="2"/>
    </xf>
    <xf numFmtId="0" fontId="8" fillId="0" borderId="0" xfId="1" applyFont="1" applyAlignment="1">
      <alignment horizontal="center" vertical="center"/>
    </xf>
    <xf numFmtId="0" fontId="7" fillId="0" borderId="0" xfId="1" applyFont="1" applyAlignment="1">
      <alignment horizontal="left" vertical="center" indent="2"/>
    </xf>
    <xf numFmtId="0" fontId="5" fillId="0" borderId="0" xfId="1" applyAlignment="1">
      <alignment horizontal="left" vertical="center" indent="3"/>
    </xf>
    <xf numFmtId="1" fontId="5" fillId="0" borderId="0" xfId="1" applyNumberFormat="1" applyAlignment="1">
      <alignment horizontal="left" vertical="center"/>
    </xf>
    <xf numFmtId="1" fontId="5" fillId="0" borderId="0" xfId="1" quotePrefix="1" applyNumberFormat="1" applyAlignment="1">
      <alignment horizontal="left" vertical="center"/>
    </xf>
    <xf numFmtId="0" fontId="5" fillId="0" borderId="0" xfId="1" applyAlignment="1">
      <alignment horizontal="left" vertical="center" wrapText="1"/>
    </xf>
    <xf numFmtId="0" fontId="5" fillId="3" borderId="0" xfId="1" applyFill="1" applyAlignment="1">
      <alignment horizontal="left" vertical="center"/>
    </xf>
    <xf numFmtId="0" fontId="6" fillId="0" borderId="0" xfId="1" applyFont="1" applyAlignment="1">
      <alignment horizontal="left" vertical="center"/>
    </xf>
    <xf numFmtId="0" fontId="5" fillId="0" borderId="0" xfId="1" quotePrefix="1" applyAlignment="1">
      <alignment horizontal="left" vertical="center"/>
    </xf>
    <xf numFmtId="0" fontId="6" fillId="4" borderId="0" xfId="1" applyFont="1" applyFill="1" applyAlignment="1">
      <alignment horizontal="left" vertical="center" indent="3"/>
    </xf>
    <xf numFmtId="0" fontId="6" fillId="4" borderId="0" xfId="1" applyFont="1" applyFill="1" applyAlignment="1">
      <alignment horizontal="center" vertical="center"/>
    </xf>
    <xf numFmtId="0" fontId="9" fillId="4" borderId="0" xfId="1" applyFont="1" applyFill="1" applyAlignment="1">
      <alignment horizontal="center" vertical="center"/>
    </xf>
    <xf numFmtId="0" fontId="6" fillId="4" borderId="0" xfId="1" quotePrefix="1" applyFont="1" applyFill="1" applyAlignment="1">
      <alignment horizontal="left" vertical="center"/>
    </xf>
    <xf numFmtId="14" fontId="5" fillId="0" borderId="0" xfId="1" applyNumberFormat="1" applyAlignment="1">
      <alignment horizontal="center" vertical="center"/>
    </xf>
    <xf numFmtId="166" fontId="4" fillId="3" borderId="0" xfId="1" applyNumberFormat="1" applyFont="1" applyFill="1" applyAlignment="1">
      <alignment horizontal="left" vertical="center"/>
    </xf>
    <xf numFmtId="167" fontId="5" fillId="0" borderId="0" xfId="1" applyNumberFormat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5" fillId="0" borderId="0" xfId="1" applyFill="1" applyAlignment="1">
      <alignment horizontal="left" vertical="center"/>
    </xf>
    <xf numFmtId="168" fontId="5" fillId="0" borderId="0" xfId="1" applyNumberFormat="1" applyAlignment="1">
      <alignment horizontal="center" vertical="center"/>
    </xf>
    <xf numFmtId="0" fontId="2" fillId="0" borderId="0" xfId="1" applyFont="1" applyAlignment="1">
      <alignment horizontal="left" vertical="center"/>
    </xf>
    <xf numFmtId="0" fontId="1" fillId="3" borderId="0" xfId="1" applyFont="1" applyFill="1" applyAlignment="1">
      <alignment horizontal="left" vertical="center"/>
    </xf>
    <xf numFmtId="0" fontId="1" fillId="3" borderId="0" xfId="1" quotePrefix="1" applyFont="1" applyFill="1" applyAlignment="1">
      <alignment horizontal="left" vertical="center"/>
    </xf>
    <xf numFmtId="0" fontId="2" fillId="0" borderId="0" xfId="1" applyFont="1" applyFill="1" applyAlignment="1">
      <alignment horizontal="left" vertical="center"/>
    </xf>
    <xf numFmtId="0" fontId="2" fillId="0" borderId="0" xfId="1" applyFont="1" applyFill="1" applyAlignment="1">
      <alignment horizontal="center" vertical="center"/>
    </xf>
    <xf numFmtId="0" fontId="3" fillId="0" borderId="0" xfId="1" applyFont="1" applyFill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zoomScale="130" zoomScaleNormal="130" workbookViewId="0">
      <selection activeCell="C5" sqref="C5"/>
    </sheetView>
  </sheetViews>
  <sheetFormatPr defaultRowHeight="12.75" x14ac:dyDescent="0.2"/>
  <cols>
    <col min="1" max="1" width="4" bestFit="1" customWidth="1"/>
    <col min="2" max="2" width="27.42578125" customWidth="1"/>
    <col min="3" max="3" width="17" bestFit="1" customWidth="1"/>
    <col min="4" max="4" width="13" bestFit="1" customWidth="1"/>
    <col min="5" max="7" width="12" bestFit="1" customWidth="1"/>
    <col min="8" max="9" width="10" bestFit="1" customWidth="1"/>
  </cols>
  <sheetData>
    <row r="1" spans="1:11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K1">
        <f>SUM(D:D)</f>
        <v>405</v>
      </c>
    </row>
    <row r="2" spans="1:11" x14ac:dyDescent="0.2">
      <c r="A2" s="2">
        <v>1</v>
      </c>
      <c r="B2" t="s">
        <v>0</v>
      </c>
      <c r="C2" t="s">
        <v>99</v>
      </c>
      <c r="D2" s="2">
        <v>40</v>
      </c>
      <c r="E2" s="3">
        <v>600</v>
      </c>
      <c r="F2" s="5">
        <v>38.128900000000002</v>
      </c>
      <c r="G2" s="4">
        <v>22877.34</v>
      </c>
      <c r="H2" s="3">
        <v>625</v>
      </c>
      <c r="I2" s="3">
        <v>531.25</v>
      </c>
    </row>
    <row r="3" spans="1:11" x14ac:dyDescent="0.2">
      <c r="A3" s="2">
        <v>2</v>
      </c>
      <c r="B3" t="s">
        <v>0</v>
      </c>
      <c r="C3" t="s">
        <v>94</v>
      </c>
      <c r="D3" s="2">
        <v>120</v>
      </c>
      <c r="E3" s="3">
        <v>1800</v>
      </c>
      <c r="F3" s="5">
        <v>40.159799999999997</v>
      </c>
      <c r="G3" s="4">
        <v>72287.64</v>
      </c>
      <c r="H3" s="3">
        <v>1875</v>
      </c>
      <c r="I3" s="3">
        <v>1593.75</v>
      </c>
    </row>
    <row r="4" spans="1:11" x14ac:dyDescent="0.2">
      <c r="A4" s="2">
        <v>3</v>
      </c>
      <c r="B4" t="s">
        <v>0</v>
      </c>
      <c r="C4" t="s">
        <v>95</v>
      </c>
      <c r="D4" s="2">
        <v>60</v>
      </c>
      <c r="E4" s="3">
        <v>900</v>
      </c>
      <c r="F4" s="5">
        <v>44.8489</v>
      </c>
      <c r="G4" s="4">
        <v>40364.01</v>
      </c>
      <c r="H4" s="3">
        <v>937.5</v>
      </c>
      <c r="I4" s="3">
        <v>796.88</v>
      </c>
    </row>
    <row r="5" spans="1:11" x14ac:dyDescent="0.2">
      <c r="A5" s="2">
        <v>4</v>
      </c>
      <c r="B5" t="s">
        <v>0</v>
      </c>
      <c r="C5" t="s">
        <v>103</v>
      </c>
      <c r="D5" s="2">
        <v>20</v>
      </c>
      <c r="E5" s="3">
        <v>300</v>
      </c>
      <c r="F5" s="5">
        <v>38.551499999999997</v>
      </c>
      <c r="G5" s="4">
        <v>11565.45</v>
      </c>
      <c r="H5" s="3">
        <v>312.5</v>
      </c>
      <c r="I5" s="3">
        <v>265.63</v>
      </c>
    </row>
    <row r="6" spans="1:11" x14ac:dyDescent="0.2">
      <c r="A6" s="2">
        <v>5</v>
      </c>
      <c r="B6" t="s">
        <v>0</v>
      </c>
      <c r="C6" t="s">
        <v>96</v>
      </c>
      <c r="D6" s="2">
        <v>40</v>
      </c>
      <c r="E6" s="3">
        <v>600</v>
      </c>
      <c r="F6" s="5">
        <v>40.6295</v>
      </c>
      <c r="G6" s="4">
        <v>24377.7</v>
      </c>
      <c r="H6" s="3">
        <v>625</v>
      </c>
      <c r="I6" s="3">
        <v>531.25</v>
      </c>
    </row>
    <row r="7" spans="1:11" x14ac:dyDescent="0.2">
      <c r="A7" s="2">
        <v>6</v>
      </c>
      <c r="B7" t="s">
        <v>0</v>
      </c>
      <c r="C7" t="s">
        <v>97</v>
      </c>
      <c r="D7" s="2">
        <v>60</v>
      </c>
      <c r="E7" s="3">
        <v>900</v>
      </c>
      <c r="F7" s="5">
        <v>45.251800000000003</v>
      </c>
      <c r="G7" s="4">
        <v>40726.620000000003</v>
      </c>
      <c r="H7" s="3">
        <v>937.5</v>
      </c>
      <c r="I7" s="3">
        <v>796.89</v>
      </c>
    </row>
    <row r="8" spans="1:11" x14ac:dyDescent="0.2">
      <c r="A8" s="2">
        <v>7</v>
      </c>
      <c r="B8" t="s">
        <v>0</v>
      </c>
      <c r="C8" t="s">
        <v>98</v>
      </c>
      <c r="D8" s="2">
        <v>2</v>
      </c>
      <c r="E8" s="3">
        <v>20</v>
      </c>
      <c r="F8" s="5">
        <v>41.124299999999998</v>
      </c>
      <c r="G8" s="4">
        <v>822.49</v>
      </c>
      <c r="H8" s="3">
        <v>1.97</v>
      </c>
      <c r="I8" s="3">
        <v>1.67</v>
      </c>
    </row>
    <row r="9" spans="1:11" x14ac:dyDescent="0.2">
      <c r="A9" s="2">
        <v>8</v>
      </c>
      <c r="B9" t="s">
        <v>0</v>
      </c>
      <c r="C9" t="s">
        <v>104</v>
      </c>
      <c r="D9" s="2">
        <v>22</v>
      </c>
      <c r="E9" s="3">
        <v>220</v>
      </c>
      <c r="F9" s="5">
        <v>42.427199999999999</v>
      </c>
      <c r="G9" s="4">
        <v>9333.98</v>
      </c>
      <c r="H9" s="3">
        <v>16.29</v>
      </c>
      <c r="I9" s="3">
        <v>13.85</v>
      </c>
    </row>
    <row r="10" spans="1:11" x14ac:dyDescent="0.2">
      <c r="A10" s="2">
        <v>9</v>
      </c>
      <c r="B10" t="s">
        <v>0</v>
      </c>
      <c r="C10" t="s">
        <v>105</v>
      </c>
      <c r="D10" s="2">
        <v>30</v>
      </c>
      <c r="E10" s="3">
        <v>300</v>
      </c>
      <c r="F10" s="5">
        <v>42.659399999999998</v>
      </c>
      <c r="G10" s="4">
        <v>12797.82</v>
      </c>
      <c r="H10" s="3">
        <v>312.5</v>
      </c>
      <c r="I10" s="3">
        <v>265.63</v>
      </c>
    </row>
    <row r="11" spans="1:11" x14ac:dyDescent="0.2">
      <c r="A11" s="2">
        <v>10</v>
      </c>
      <c r="B11" t="s">
        <v>0</v>
      </c>
      <c r="C11" t="s">
        <v>106</v>
      </c>
      <c r="D11" s="2">
        <v>8</v>
      </c>
      <c r="E11" s="3">
        <v>120</v>
      </c>
      <c r="F11" s="5">
        <v>63.258800000000001</v>
      </c>
      <c r="G11" s="4">
        <v>7591.06</v>
      </c>
      <c r="H11" s="3">
        <v>11.79</v>
      </c>
      <c r="I11" s="3">
        <v>10.02</v>
      </c>
    </row>
    <row r="12" spans="1:11" x14ac:dyDescent="0.2">
      <c r="A12" s="2">
        <v>11</v>
      </c>
      <c r="B12" t="s">
        <v>0</v>
      </c>
      <c r="C12" t="s">
        <v>107</v>
      </c>
      <c r="D12" s="2">
        <v>3</v>
      </c>
      <c r="E12" s="3">
        <v>41</v>
      </c>
      <c r="F12" s="5">
        <v>65.162800000000004</v>
      </c>
      <c r="G12" s="4">
        <v>2671.67</v>
      </c>
      <c r="H12" s="3">
        <v>4.0199999999999996</v>
      </c>
      <c r="I12" s="3">
        <v>3.4</v>
      </c>
    </row>
    <row r="13" spans="1:11" x14ac:dyDescent="0.2">
      <c r="A13" s="2"/>
      <c r="D13" s="2"/>
      <c r="E13" s="3"/>
      <c r="F13" s="5"/>
      <c r="G13" s="4"/>
      <c r="H13" s="3"/>
      <c r="I13" s="3"/>
    </row>
    <row r="14" spans="1:11" x14ac:dyDescent="0.2">
      <c r="A14" s="2"/>
      <c r="D14" s="2"/>
      <c r="E14" s="3"/>
      <c r="F14" s="5"/>
      <c r="G14" s="4"/>
      <c r="H14" s="3"/>
      <c r="I14" s="3"/>
    </row>
    <row r="15" spans="1:11" x14ac:dyDescent="0.2">
      <c r="A15" s="2"/>
      <c r="E15" s="3"/>
    </row>
    <row r="16" spans="1:11" x14ac:dyDescent="0.2">
      <c r="A16" s="2"/>
      <c r="E16" s="3"/>
    </row>
    <row r="17" spans="1:1" x14ac:dyDescent="0.2">
      <c r="A17" s="2"/>
    </row>
    <row r="18" spans="1:1" x14ac:dyDescent="0.2">
      <c r="A18" s="2"/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7"/>
  <sheetViews>
    <sheetView tabSelected="1" zoomScale="85" zoomScaleNormal="85" workbookViewId="0">
      <pane xSplit="1" ySplit="2" topLeftCell="B32" activePane="bottomRight" state="frozen"/>
      <selection pane="topRight" activeCell="B1" sqref="B1"/>
      <selection pane="bottomLeft" activeCell="A3" sqref="A3"/>
      <selection pane="bottomRight" activeCell="F58" sqref="F58"/>
    </sheetView>
  </sheetViews>
  <sheetFormatPr defaultRowHeight="15" x14ac:dyDescent="0.2"/>
  <cols>
    <col min="1" max="1" width="38.28515625" style="7" bestFit="1" customWidth="1"/>
    <col min="2" max="2" width="24.7109375" style="6" customWidth="1"/>
    <col min="3" max="3" width="14.140625" style="6" customWidth="1"/>
    <col min="4" max="4" width="75.28515625" style="7" customWidth="1"/>
    <col min="5" max="5" width="31.85546875" style="6" customWidth="1"/>
    <col min="6" max="6" width="24.85546875" style="6" customWidth="1"/>
    <col min="7" max="16384" width="9.140625" style="6"/>
  </cols>
  <sheetData>
    <row r="1" spans="1:4" x14ac:dyDescent="0.2">
      <c r="A1" s="6"/>
    </row>
    <row r="2" spans="1:4" x14ac:dyDescent="0.2">
      <c r="A2" s="8" t="s">
        <v>10</v>
      </c>
      <c r="B2" s="9" t="s">
        <v>11</v>
      </c>
      <c r="C2" s="9" t="s">
        <v>12</v>
      </c>
      <c r="D2" s="9" t="s">
        <v>13</v>
      </c>
    </row>
    <row r="3" spans="1:4" x14ac:dyDescent="0.2">
      <c r="A3" s="8" t="s">
        <v>14</v>
      </c>
    </row>
    <row r="4" spans="1:4" x14ac:dyDescent="0.2">
      <c r="A4" s="10" t="s">
        <v>15</v>
      </c>
      <c r="B4" s="6" t="s">
        <v>16</v>
      </c>
      <c r="C4" s="11" t="s">
        <v>17</v>
      </c>
      <c r="D4" s="17" t="s">
        <v>18</v>
      </c>
    </row>
    <row r="5" spans="1:4" x14ac:dyDescent="0.2">
      <c r="A5" s="10" t="s">
        <v>19</v>
      </c>
      <c r="B5" s="6" t="s">
        <v>20</v>
      </c>
      <c r="C5" s="11" t="s">
        <v>17</v>
      </c>
      <c r="D5" s="28" t="s">
        <v>21</v>
      </c>
    </row>
    <row r="6" spans="1:4" x14ac:dyDescent="0.2">
      <c r="A6" s="10" t="s">
        <v>22</v>
      </c>
      <c r="B6" s="6" t="s">
        <v>16</v>
      </c>
      <c r="C6" s="11" t="s">
        <v>17</v>
      </c>
      <c r="D6" s="17" t="s">
        <v>23</v>
      </c>
    </row>
    <row r="7" spans="1:4" x14ac:dyDescent="0.2">
      <c r="A7" s="10" t="s">
        <v>24</v>
      </c>
      <c r="B7" s="6" t="s">
        <v>16</v>
      </c>
      <c r="C7" s="11" t="s">
        <v>25</v>
      </c>
      <c r="D7" s="17" t="s">
        <v>26</v>
      </c>
    </row>
    <row r="8" spans="1:4" x14ac:dyDescent="0.2">
      <c r="A8" s="8" t="s">
        <v>27</v>
      </c>
    </row>
    <row r="9" spans="1:4" x14ac:dyDescent="0.2">
      <c r="A9" s="12" t="s">
        <v>28</v>
      </c>
    </row>
    <row r="10" spans="1:4" x14ac:dyDescent="0.2">
      <c r="A10" s="13" t="s">
        <v>29</v>
      </c>
      <c r="B10" s="6" t="s">
        <v>30</v>
      </c>
      <c r="C10" s="11" t="s">
        <v>25</v>
      </c>
      <c r="D10" s="7" t="s">
        <v>31</v>
      </c>
    </row>
    <row r="11" spans="1:4" x14ac:dyDescent="0.2">
      <c r="A11" s="13" t="s">
        <v>32</v>
      </c>
      <c r="B11" s="6" t="s">
        <v>30</v>
      </c>
      <c r="C11" s="11" t="s">
        <v>25</v>
      </c>
      <c r="D11" s="7" t="s">
        <v>23</v>
      </c>
    </row>
    <row r="12" spans="1:4" x14ac:dyDescent="0.2">
      <c r="A12" s="13" t="s">
        <v>33</v>
      </c>
      <c r="B12" s="6" t="s">
        <v>30</v>
      </c>
      <c r="C12" s="11" t="s">
        <v>25</v>
      </c>
      <c r="D12" s="7" t="s">
        <v>34</v>
      </c>
    </row>
    <row r="13" spans="1:4" x14ac:dyDescent="0.2">
      <c r="A13" s="13" t="s">
        <v>35</v>
      </c>
      <c r="B13" s="6" t="s">
        <v>16</v>
      </c>
      <c r="C13" s="11" t="s">
        <v>25</v>
      </c>
      <c r="D13" s="7" t="s">
        <v>26</v>
      </c>
    </row>
    <row r="14" spans="1:4" x14ac:dyDescent="0.2">
      <c r="A14" s="12" t="s">
        <v>36</v>
      </c>
    </row>
    <row r="15" spans="1:4" x14ac:dyDescent="0.2">
      <c r="A15" s="13" t="s">
        <v>37</v>
      </c>
      <c r="B15" s="6" t="s">
        <v>30</v>
      </c>
      <c r="C15" s="11" t="s">
        <v>25</v>
      </c>
      <c r="D15" s="14">
        <v>8120201951594</v>
      </c>
    </row>
    <row r="16" spans="1:4" x14ac:dyDescent="0.2">
      <c r="A16" s="13" t="s">
        <v>38</v>
      </c>
      <c r="B16" s="6" t="s">
        <v>30</v>
      </c>
      <c r="C16" s="11" t="s">
        <v>25</v>
      </c>
      <c r="D16" s="15" t="s">
        <v>39</v>
      </c>
    </row>
    <row r="17" spans="1:4" x14ac:dyDescent="0.2">
      <c r="A17" s="13" t="s">
        <v>40</v>
      </c>
      <c r="B17" s="6" t="s">
        <v>30</v>
      </c>
      <c r="C17" s="11" t="s">
        <v>25</v>
      </c>
      <c r="D17" s="7" t="s">
        <v>41</v>
      </c>
    </row>
    <row r="18" spans="1:4" x14ac:dyDescent="0.2">
      <c r="A18" s="13" t="s">
        <v>42</v>
      </c>
      <c r="B18" s="6" t="s">
        <v>16</v>
      </c>
      <c r="C18" s="11" t="s">
        <v>17</v>
      </c>
      <c r="D18" s="7" t="s">
        <v>43</v>
      </c>
    </row>
    <row r="19" spans="1:4" x14ac:dyDescent="0.2">
      <c r="A19" s="13" t="s">
        <v>44</v>
      </c>
      <c r="B19" s="6" t="s">
        <v>30</v>
      </c>
      <c r="C19" s="11" t="s">
        <v>25</v>
      </c>
      <c r="D19" s="7" t="s">
        <v>45</v>
      </c>
    </row>
    <row r="20" spans="1:4" x14ac:dyDescent="0.2">
      <c r="A20" s="13" t="s">
        <v>46</v>
      </c>
      <c r="B20" s="6" t="s">
        <v>47</v>
      </c>
      <c r="C20" s="11" t="s">
        <v>25</v>
      </c>
      <c r="D20" s="27" t="s">
        <v>53</v>
      </c>
    </row>
    <row r="21" spans="1:4" x14ac:dyDescent="0.2">
      <c r="A21" s="13" t="s">
        <v>48</v>
      </c>
      <c r="B21" s="6" t="s">
        <v>30</v>
      </c>
      <c r="C21" s="11" t="s">
        <v>25</v>
      </c>
      <c r="D21" s="7" t="s">
        <v>49</v>
      </c>
    </row>
    <row r="22" spans="1:4" x14ac:dyDescent="0.2">
      <c r="A22" s="13" t="s">
        <v>50</v>
      </c>
      <c r="B22" s="6" t="s">
        <v>51</v>
      </c>
      <c r="C22" s="11" t="s">
        <v>52</v>
      </c>
      <c r="D22" s="7" t="s">
        <v>53</v>
      </c>
    </row>
    <row r="23" spans="1:4" x14ac:dyDescent="0.2">
      <c r="A23" s="13" t="s">
        <v>54</v>
      </c>
      <c r="B23" s="6" t="s">
        <v>47</v>
      </c>
      <c r="C23" s="11" t="s">
        <v>52</v>
      </c>
      <c r="D23" s="7" t="s">
        <v>53</v>
      </c>
    </row>
    <row r="24" spans="1:4" x14ac:dyDescent="0.2">
      <c r="A24" s="12" t="s">
        <v>55</v>
      </c>
    </row>
    <row r="25" spans="1:4" x14ac:dyDescent="0.2">
      <c r="A25" s="13" t="s">
        <v>40</v>
      </c>
      <c r="B25" s="6" t="s">
        <v>51</v>
      </c>
      <c r="C25" s="11" t="s">
        <v>17</v>
      </c>
      <c r="D25" s="7" t="s">
        <v>56</v>
      </c>
    </row>
    <row r="26" spans="1:4" ht="60" x14ac:dyDescent="0.2">
      <c r="A26" s="13" t="s">
        <v>48</v>
      </c>
      <c r="B26" s="6" t="s">
        <v>57</v>
      </c>
      <c r="C26" s="11" t="s">
        <v>17</v>
      </c>
      <c r="D26" s="16" t="s">
        <v>58</v>
      </c>
    </row>
    <row r="27" spans="1:4" x14ac:dyDescent="0.2">
      <c r="A27" s="13" t="s">
        <v>59</v>
      </c>
      <c r="B27" s="6" t="s">
        <v>51</v>
      </c>
      <c r="C27" s="11" t="s">
        <v>52</v>
      </c>
      <c r="D27" s="7" t="s">
        <v>53</v>
      </c>
    </row>
    <row r="28" spans="1:4" x14ac:dyDescent="0.2">
      <c r="A28" s="13" t="s">
        <v>44</v>
      </c>
      <c r="B28" s="6" t="s">
        <v>30</v>
      </c>
      <c r="C28" s="11" t="s">
        <v>25</v>
      </c>
      <c r="D28" s="7" t="s">
        <v>18</v>
      </c>
    </row>
    <row r="29" spans="1:4" x14ac:dyDescent="0.2">
      <c r="A29" s="13" t="s">
        <v>46</v>
      </c>
      <c r="B29" s="6" t="s">
        <v>47</v>
      </c>
      <c r="C29" s="11" t="s">
        <v>52</v>
      </c>
      <c r="D29" s="27" t="s">
        <v>47</v>
      </c>
    </row>
    <row r="30" spans="1:4" x14ac:dyDescent="0.2">
      <c r="A30" s="13" t="s">
        <v>60</v>
      </c>
      <c r="B30" s="6" t="s">
        <v>16</v>
      </c>
      <c r="C30" s="11" t="s">
        <v>17</v>
      </c>
      <c r="D30" s="7" t="s">
        <v>61</v>
      </c>
    </row>
    <row r="31" spans="1:4" x14ac:dyDescent="0.2">
      <c r="A31" s="12" t="s">
        <v>62</v>
      </c>
    </row>
    <row r="32" spans="1:4" x14ac:dyDescent="0.2">
      <c r="A32" s="13" t="s">
        <v>63</v>
      </c>
      <c r="B32" s="6" t="s">
        <v>16</v>
      </c>
      <c r="C32" s="11" t="s">
        <v>17</v>
      </c>
      <c r="D32" s="30" t="s">
        <v>64</v>
      </c>
    </row>
    <row r="33" spans="1:6" x14ac:dyDescent="0.2">
      <c r="A33" s="13" t="s">
        <v>65</v>
      </c>
      <c r="B33" s="6" t="s">
        <v>51</v>
      </c>
      <c r="C33" s="11" t="s">
        <v>17</v>
      </c>
      <c r="D33" s="31" t="s">
        <v>100</v>
      </c>
    </row>
    <row r="34" spans="1:6" x14ac:dyDescent="0.2">
      <c r="A34" s="13" t="s">
        <v>66</v>
      </c>
      <c r="B34" s="6" t="s">
        <v>16</v>
      </c>
      <c r="C34" s="11" t="s">
        <v>17</v>
      </c>
      <c r="D34" s="33" t="s">
        <v>93</v>
      </c>
      <c r="E34" s="34" t="s">
        <v>92</v>
      </c>
    </row>
    <row r="35" spans="1:6" x14ac:dyDescent="0.2">
      <c r="A35" s="13" t="s">
        <v>67</v>
      </c>
      <c r="B35" s="6" t="s">
        <v>16</v>
      </c>
      <c r="C35" s="11" t="s">
        <v>17</v>
      </c>
      <c r="D35" s="33" t="s">
        <v>68</v>
      </c>
      <c r="E35" s="35" t="s">
        <v>91</v>
      </c>
    </row>
    <row r="36" spans="1:6" x14ac:dyDescent="0.2">
      <c r="A36" s="13" t="s">
        <v>69</v>
      </c>
      <c r="B36" s="6" t="s">
        <v>70</v>
      </c>
      <c r="C36" s="11" t="s">
        <v>17</v>
      </c>
      <c r="D36" s="25">
        <v>46154</v>
      </c>
      <c r="E36" s="26">
        <f>D36</f>
        <v>46154</v>
      </c>
    </row>
    <row r="37" spans="1:6" x14ac:dyDescent="0.2">
      <c r="A37" s="13" t="s">
        <v>71</v>
      </c>
      <c r="B37" s="6" t="s">
        <v>20</v>
      </c>
      <c r="C37" s="11" t="s">
        <v>17</v>
      </c>
      <c r="D37" s="7" t="s">
        <v>72</v>
      </c>
    </row>
    <row r="38" spans="1:6" x14ac:dyDescent="0.2">
      <c r="A38" s="13"/>
      <c r="B38" s="6" t="s">
        <v>73</v>
      </c>
      <c r="C38" s="11" t="s">
        <v>17</v>
      </c>
      <c r="D38" s="18" t="s">
        <v>74</v>
      </c>
    </row>
    <row r="39" spans="1:6" x14ac:dyDescent="0.2">
      <c r="A39" s="13" t="s">
        <v>75</v>
      </c>
      <c r="B39" s="6" t="s">
        <v>51</v>
      </c>
      <c r="C39" s="11" t="s">
        <v>17</v>
      </c>
      <c r="D39" s="31" t="s">
        <v>101</v>
      </c>
    </row>
    <row r="40" spans="1:6" x14ac:dyDescent="0.2">
      <c r="A40" s="13" t="s">
        <v>76</v>
      </c>
      <c r="B40" s="6" t="s">
        <v>70</v>
      </c>
      <c r="C40" s="11" t="s">
        <v>17</v>
      </c>
      <c r="D40" s="25">
        <v>46153</v>
      </c>
      <c r="E40" s="26">
        <f>D40</f>
        <v>46153</v>
      </c>
      <c r="F40" s="24"/>
    </row>
    <row r="41" spans="1:6" x14ac:dyDescent="0.2">
      <c r="A41" s="12" t="s">
        <v>77</v>
      </c>
    </row>
    <row r="42" spans="1:6" x14ac:dyDescent="0.2">
      <c r="A42" s="13" t="s">
        <v>78</v>
      </c>
    </row>
    <row r="43" spans="1:6" x14ac:dyDescent="0.2">
      <c r="A43" s="13"/>
      <c r="B43" s="6" t="s">
        <v>73</v>
      </c>
      <c r="C43" s="11" t="s">
        <v>17</v>
      </c>
      <c r="D43" s="18" t="s">
        <v>79</v>
      </c>
    </row>
    <row r="44" spans="1:6" x14ac:dyDescent="0.2">
      <c r="A44" s="13" t="s">
        <v>80</v>
      </c>
      <c r="B44" s="6" t="s">
        <v>51</v>
      </c>
      <c r="C44" s="11" t="s">
        <v>17</v>
      </c>
      <c r="D44" s="17">
        <v>245415.78</v>
      </c>
    </row>
    <row r="45" spans="1:6" x14ac:dyDescent="0.2">
      <c r="A45" s="13" t="s">
        <v>75</v>
      </c>
      <c r="B45" s="6" t="s">
        <v>51</v>
      </c>
      <c r="C45" s="11" t="s">
        <v>17</v>
      </c>
      <c r="D45" s="32" t="s">
        <v>102</v>
      </c>
    </row>
    <row r="46" spans="1:6" x14ac:dyDescent="0.2">
      <c r="A46" s="13" t="s">
        <v>76</v>
      </c>
      <c r="B46" s="6" t="s">
        <v>70</v>
      </c>
      <c r="C46" s="11" t="s">
        <v>17</v>
      </c>
      <c r="D46" s="25">
        <v>46153</v>
      </c>
      <c r="E46" s="26">
        <f>D46</f>
        <v>46153</v>
      </c>
    </row>
    <row r="47" spans="1:6" x14ac:dyDescent="0.2">
      <c r="A47" s="13" t="s">
        <v>81</v>
      </c>
      <c r="D47" s="6"/>
    </row>
    <row r="48" spans="1:6" x14ac:dyDescent="0.2">
      <c r="A48" s="13"/>
      <c r="B48" s="6" t="s">
        <v>73</v>
      </c>
      <c r="C48" s="11" t="s">
        <v>17</v>
      </c>
      <c r="D48" s="18" t="s">
        <v>82</v>
      </c>
    </row>
    <row r="49" spans="1:6" x14ac:dyDescent="0.2">
      <c r="A49" s="13" t="s">
        <v>75</v>
      </c>
      <c r="B49" s="6" t="s">
        <v>51</v>
      </c>
      <c r="C49" s="11" t="s">
        <v>17</v>
      </c>
      <c r="D49" s="17">
        <v>3110077072</v>
      </c>
    </row>
    <row r="50" spans="1:6" x14ac:dyDescent="0.2">
      <c r="A50" s="13" t="s">
        <v>76</v>
      </c>
      <c r="B50" s="6" t="s">
        <v>70</v>
      </c>
      <c r="C50" s="11" t="s">
        <v>17</v>
      </c>
      <c r="D50" s="25">
        <v>46153</v>
      </c>
      <c r="E50" s="26">
        <f>D50</f>
        <v>46153</v>
      </c>
    </row>
    <row r="51" spans="1:6" x14ac:dyDescent="0.2">
      <c r="A51" s="13" t="s">
        <v>83</v>
      </c>
      <c r="B51" s="6" t="s">
        <v>16</v>
      </c>
      <c r="C51" s="11" t="s">
        <v>17</v>
      </c>
      <c r="D51" s="19" t="s">
        <v>84</v>
      </c>
    </row>
    <row r="52" spans="1:6" s="21" customFormat="1" ht="8.25" customHeight="1" x14ac:dyDescent="0.2">
      <c r="A52" s="20"/>
      <c r="C52" s="22"/>
      <c r="D52" s="23"/>
    </row>
    <row r="53" spans="1:6" x14ac:dyDescent="0.2">
      <c r="A53" s="8" t="s">
        <v>85</v>
      </c>
    </row>
    <row r="54" spans="1:6" x14ac:dyDescent="0.2">
      <c r="A54" s="13" t="s">
        <v>86</v>
      </c>
      <c r="B54" s="6" t="s">
        <v>51</v>
      </c>
      <c r="C54" s="11" t="s">
        <v>17</v>
      </c>
      <c r="D54" s="17">
        <v>5020016915</v>
      </c>
    </row>
    <row r="55" spans="1:6" x14ac:dyDescent="0.2">
      <c r="A55" s="13" t="s">
        <v>87</v>
      </c>
      <c r="B55" s="6" t="s">
        <v>51</v>
      </c>
      <c r="C55" s="11" t="s">
        <v>17</v>
      </c>
      <c r="D55" s="25">
        <v>46153</v>
      </c>
      <c r="E55" s="26">
        <f>D55</f>
        <v>46153</v>
      </c>
      <c r="F55" s="29">
        <f>D55</f>
        <v>46153</v>
      </c>
    </row>
    <row r="56" spans="1:6" x14ac:dyDescent="0.2">
      <c r="A56" s="13" t="s">
        <v>88</v>
      </c>
      <c r="B56" s="6" t="s">
        <v>73</v>
      </c>
      <c r="C56" s="11" t="s">
        <v>17</v>
      </c>
      <c r="D56" s="18" t="s">
        <v>89</v>
      </c>
    </row>
    <row r="57" spans="1:6" x14ac:dyDescent="0.2">
      <c r="A57" s="13" t="s">
        <v>90</v>
      </c>
      <c r="B57" s="6" t="s">
        <v>51</v>
      </c>
      <c r="C57" s="11" t="s">
        <v>17</v>
      </c>
      <c r="D57" s="17">
        <v>245415.78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CREATE COO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lena sepriani</cp:lastModifiedBy>
  <cp:revision>1</cp:revision>
  <dcterms:modified xsi:type="dcterms:W3CDTF">2026-05-19T02:08:49Z</dcterms:modified>
  <cp:category/>
</cp:coreProperties>
</file>